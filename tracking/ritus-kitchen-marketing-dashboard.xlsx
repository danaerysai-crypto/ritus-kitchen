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ders" sheetId="1" state="visible" r:id="rId1"/>
    <sheet name="Content Calendar" sheetId="2" state="visible" r:id="rId2"/>
    <sheet name="Inferred Segments" sheetId="3" state="visible" r:id="rId3"/>
    <sheet name="Monthly KPI Dashboard" sheetId="4" state="visible" r:id="rId4"/>
    <sheet name="Source Analysis" sheetId="5" state="visible" r:id="rId5"/>
    <sheet name="Product Analysis" sheetId="6" state="visible" r:id="rId6"/>
    <sheet name="Weekly Review" sheetId="7" state="visible" r:id="rId7"/>
    <sheet name="Customer List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tabSelected="1" workbookViewId="0">
      <selection activeCell="N11" sqref="N11"/>
    </sheetView>
  </sheetViews>
  <sheetFormatPr baseColWidth="8" defaultRowHeight="14.4"/>
  <cols>
    <col width="10.77734375" customWidth="1" min="1" max="1"/>
    <col width="17.109375" customWidth="1" min="2" max="2"/>
    <col width="16" customWidth="1" min="3" max="3"/>
    <col width="19" customWidth="1" min="4" max="4"/>
    <col width="16.21875" customWidth="1" min="5" max="5"/>
    <col width="15.6640625" customWidth="1" min="6" max="6"/>
    <col width="12.88671875" customWidth="1" min="8" max="8"/>
    <col width="12.77734375" customWidth="1" min="9" max="9"/>
    <col width="16.21875" customWidth="1" min="10" max="10"/>
    <col width="13.88671875" customWidth="1" min="11" max="11"/>
    <col width="13.6640625" customWidth="1" min="12" max="12"/>
    <col width="11.5546875" customWidth="1" min="13" max="13"/>
    <col width="21.88671875" customWidth="1" min="14" max="14"/>
  </cols>
  <sheetData>
    <row r="1">
      <c r="A1" t="inlineStr">
        <is>
          <t>Date</t>
        </is>
      </c>
      <c r="B1" t="inlineStr">
        <is>
          <t>Customer Name</t>
        </is>
      </c>
      <c r="C1" t="inlineStr">
        <is>
          <t>Phone</t>
        </is>
      </c>
      <c r="D1" t="inlineStr">
        <is>
          <t>Source</t>
        </is>
      </c>
      <c r="E1" t="inlineStr">
        <is>
          <t>UTM Campaign</t>
        </is>
      </c>
      <c r="F1" t="inlineStr">
        <is>
          <t>Product</t>
        </is>
      </c>
      <c r="G1" t="inlineStr">
        <is>
          <t>Quantity</t>
        </is>
      </c>
      <c r="H1" t="inlineStr">
        <is>
          <t>Price</t>
        </is>
      </c>
      <c r="I1" t="inlineStr">
        <is>
          <t>Payment Mode</t>
        </is>
      </c>
      <c r="J1" t="inlineStr">
        <is>
          <t>Delivery Area</t>
        </is>
      </c>
      <c r="K1" t="inlineStr">
        <is>
          <t>Dietary Note</t>
        </is>
      </c>
      <c r="L1" t="inlineStr">
        <is>
          <t>New or Repeat</t>
        </is>
      </c>
      <c r="M1" t="inlineStr">
        <is>
          <t>Referral By</t>
        </is>
      </c>
      <c r="N1" t="inlineStr">
        <is>
          <t>Notes</t>
        </is>
      </c>
    </row>
    <row r="2">
      <c r="A2" t="inlineStr">
        <is>
          <t>2026-07-07</t>
        </is>
      </c>
      <c r="B2" t="inlineStr">
        <is>
          <t>Example Customer</t>
        </is>
      </c>
      <c r="C2" t="inlineStr">
        <is>
          <t>+91-98765-43210</t>
        </is>
      </c>
      <c r="D2" t="inlineStr">
        <is>
          <t>Instagram Story</t>
        </is>
      </c>
      <c r="E2" t="inlineStr">
        <is>
          <t>daily_thali_july7</t>
        </is>
      </c>
      <c r="F2" t="inlineStr">
        <is>
          <t>Today's Thali</t>
        </is>
      </c>
      <c r="G2" t="n">
        <v>1</v>
      </c>
      <c r="H2" t="n">
        <v>220</v>
      </c>
      <c r="I2" t="inlineStr">
        <is>
          <t>UPI</t>
        </is>
      </c>
      <c r="J2" t="inlineStr">
        <is>
          <t>Auroville Central</t>
        </is>
      </c>
      <c r="K2" t="inlineStr">
        <is>
          <t>No onion-garlic</t>
        </is>
      </c>
      <c r="L2" t="inlineStr">
        <is>
          <t>New</t>
        </is>
      </c>
      <c r="N2" t="inlineStr">
        <is>
          <t>First order from IG</t>
        </is>
      </c>
    </row>
    <row r="3">
      <c r="A3" t="inlineStr">
        <is>
          <t>2026-07-07</t>
        </is>
      </c>
      <c r="B3" t="inlineStr">
        <is>
          <t>Example Customer 2</t>
        </is>
      </c>
      <c r="C3" t="inlineStr">
        <is>
          <t>+91-98765-43211</t>
        </is>
      </c>
      <c r="D3" t="inlineStr">
        <is>
          <t>WhatsApp Broadcast</t>
        </is>
      </c>
      <c r="E3" t="inlineStr">
        <is>
          <t>weekly_tiffin</t>
        </is>
      </c>
      <c r="F3" t="inlineStr">
        <is>
          <t>Weekly Tiffin</t>
        </is>
      </c>
      <c r="G3" t="n">
        <v>1</v>
      </c>
      <c r="H3" t="n">
        <v>1100</v>
      </c>
      <c r="I3" t="inlineStr">
        <is>
          <t>Cash</t>
        </is>
      </c>
      <c r="J3" t="inlineStr">
        <is>
          <t>Verite</t>
        </is>
      </c>
      <c r="K3" t="inlineStr">
        <is>
          <t>Gluten-free</t>
        </is>
      </c>
      <c r="L3" t="inlineStr">
        <is>
          <t>New</t>
        </is>
      </c>
      <c r="N3" t="inlineStr">
        <is>
          <t>New subscriber</t>
        </is>
      </c>
    </row>
    <row r="4">
      <c r="A4" t="inlineStr">
        <is>
          <t>2026-07-08</t>
        </is>
      </c>
      <c r="B4" t="inlineStr">
        <is>
          <t>Example Customer 3</t>
        </is>
      </c>
      <c r="C4" t="inlineStr">
        <is>
          <t>+91-98765-43212</t>
        </is>
      </c>
      <c r="D4" t="inlineStr">
        <is>
          <t>Guesthouse Flyer</t>
        </is>
      </c>
      <c r="E4" t="inlineStr">
        <is>
          <t>newcomer_pack</t>
        </is>
      </c>
      <c r="F4" t="inlineStr">
        <is>
          <t>Newcomer Starter Pack</t>
        </is>
      </c>
      <c r="G4" t="n">
        <v>1</v>
      </c>
      <c r="H4" t="n">
        <v>1200</v>
      </c>
      <c r="I4" t="inlineStr">
        <is>
          <t>UPI</t>
        </is>
      </c>
      <c r="J4" t="inlineStr">
        <is>
          <t>Gaia Guesthouse</t>
        </is>
      </c>
      <c r="K4" t="inlineStr">
        <is>
          <t>Vegan</t>
        </is>
      </c>
      <c r="L4" t="inlineStr">
        <is>
          <t>New</t>
        </is>
      </c>
      <c r="M4" t="inlineStr">
        <is>
          <t>Guesthouse manager referral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4.4"/>
  <cols>
    <col width="12.109375" customWidth="1" min="1" max="1"/>
    <col width="12.77734375" customWidth="1" min="2" max="2"/>
    <col width="12.21875" customWidth="1" min="3" max="3"/>
    <col width="28.33203125" customWidth="1" min="4" max="4"/>
    <col width="28.44140625" customWidth="1" min="5" max="5"/>
    <col width="10.33203125" customWidth="1" min="10" max="10"/>
    <col width="33.21875" customWidth="1" min="11" max="11"/>
  </cols>
  <sheetData>
    <row r="1">
      <c r="A1" t="inlineStr">
        <is>
          <t>Date</t>
        </is>
      </c>
      <c r="B1" t="inlineStr">
        <is>
          <t>Platform</t>
        </is>
      </c>
      <c r="C1" t="inlineStr">
        <is>
          <t>Post Type</t>
        </is>
      </c>
      <c r="D1" t="inlineStr">
        <is>
          <t>Content</t>
        </is>
      </c>
      <c r="E1" t="inlineStr">
        <is>
          <t>Link / UTM</t>
        </is>
      </c>
      <c r="F1" t="inlineStr">
        <is>
          <t>Reach</t>
        </is>
      </c>
      <c r="G1" t="inlineStr">
        <is>
          <t>Link Clicks</t>
        </is>
      </c>
      <c r="H1" t="inlineStr">
        <is>
          <t>WhatsApp Inquiries</t>
        </is>
      </c>
      <c r="I1" t="inlineStr">
        <is>
          <t>Orders</t>
        </is>
      </c>
      <c r="J1" t="inlineStr">
        <is>
          <t>Revenue</t>
        </is>
      </c>
      <c r="K1" t="inlineStr">
        <is>
          <t>Notes</t>
        </is>
      </c>
    </row>
    <row r="2">
      <c r="A2" t="inlineStr">
        <is>
          <t>2026-07-07</t>
        </is>
      </c>
      <c r="B2" t="inlineStr">
        <is>
          <t>Instagram</t>
        </is>
      </c>
      <c r="C2" t="inlineStr">
        <is>
          <t>Story</t>
        </is>
      </c>
      <c r="D2" t="inlineStr">
        <is>
          <t>Daily thali photo — palak paneer</t>
        </is>
      </c>
      <c r="E2" t="inlineStr">
        <is>
          <t>https://bit.ly/ritu_thali_july7</t>
        </is>
      </c>
      <c r="F2" t="n">
        <v>120</v>
      </c>
      <c r="G2" t="n">
        <v>15</v>
      </c>
      <c r="H2" t="n">
        <v>4</v>
      </c>
      <c r="I2" t="n">
        <v>2</v>
      </c>
      <c r="J2" t="n">
        <v>440</v>
      </c>
      <c r="K2" t="inlineStr">
        <is>
          <t>Good engagement</t>
        </is>
      </c>
    </row>
    <row r="3">
      <c r="A3" t="inlineStr">
        <is>
          <t>2026-07-07</t>
        </is>
      </c>
      <c r="B3" t="inlineStr">
        <is>
          <t>WhatsApp</t>
        </is>
      </c>
      <c r="C3" t="inlineStr">
        <is>
          <t>Broadcast</t>
        </is>
      </c>
      <c r="D3" t="inlineStr">
        <is>
          <t>Morning menu + pre-book CTA</t>
        </is>
      </c>
      <c r="E3" t="inlineStr">
        <is>
          <t>wa.me link</t>
        </is>
      </c>
      <c r="F3" t="n">
        <v>80</v>
      </c>
      <c r="G3" t="n">
        <v>22</v>
      </c>
      <c r="H3" t="n">
        <v>6</v>
      </c>
      <c r="I3" t="n">
        <v>3</v>
      </c>
      <c r="J3" t="n">
        <v>660</v>
      </c>
      <c r="K3" t="inlineStr">
        <is>
          <t>Best conversion day</t>
        </is>
      </c>
    </row>
    <row r="4">
      <c r="A4" t="inlineStr">
        <is>
          <t>2026-07-08</t>
        </is>
      </c>
      <c r="B4" t="inlineStr">
        <is>
          <t>Instagram</t>
        </is>
      </c>
      <c r="C4" t="inlineStr">
        <is>
          <t>Reel</t>
        </is>
      </c>
      <c r="D4" t="inlineStr">
        <is>
          <t>Kitchen packing timelapse</t>
        </is>
      </c>
      <c r="E4" t="inlineStr">
        <is>
          <t>https://bit.ly/ritu_reel_july8</t>
        </is>
      </c>
      <c r="F4" t="n">
        <v>450</v>
      </c>
      <c r="G4" t="n">
        <v>35</v>
      </c>
      <c r="H4" t="n">
        <v>8</v>
      </c>
      <c r="I4" t="n">
        <v>2</v>
      </c>
      <c r="J4" t="n">
        <v>440</v>
      </c>
      <c r="K4" t="inlineStr">
        <is>
          <t>Reel got high reach but lower conversion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Name</t>
        </is>
      </c>
      <c r="C1" t="inlineStr">
        <is>
          <t>Total Orders</t>
        </is>
      </c>
      <c r="D1" t="inlineStr">
        <is>
          <t>Total Spent (₹)</t>
        </is>
      </c>
      <c r="E1" t="inlineStr">
        <is>
          <t>Avg Order Value (₹)</t>
        </is>
      </c>
      <c r="F1" t="inlineStr">
        <is>
          <t>First Order Date</t>
        </is>
      </c>
      <c r="G1" t="inlineStr">
        <is>
          <t>Last Order Date</t>
        </is>
      </c>
      <c r="H1" t="inlineStr">
        <is>
          <t>Days Since Last Order</t>
        </is>
      </c>
      <c r="I1" t="inlineStr">
        <is>
          <t>Resident Type (Inferred)</t>
        </is>
      </c>
      <c r="J1" t="inlineStr">
        <is>
          <t>Family Size (Inferred)</t>
        </is>
      </c>
      <c r="K1" t="inlineStr">
        <is>
          <t>Subscriber</t>
        </is>
      </c>
      <c r="L1" t="inlineStr">
        <is>
          <t>Regular</t>
        </is>
      </c>
      <c r="M1" t="inlineStr">
        <is>
          <t>High Value</t>
        </is>
      </c>
      <c r="N1" t="inlineStr">
        <is>
          <t>Dormant</t>
        </is>
      </c>
      <c r="O1" t="inlineStr">
        <is>
          <t>Wellness Customer</t>
        </is>
      </c>
      <c r="P1" t="inlineStr">
        <is>
          <t>Advocate</t>
        </is>
      </c>
      <c r="Q1" t="inlineStr">
        <is>
          <t>Preferred Meal</t>
        </is>
      </c>
      <c r="R1" t="inlineStr">
        <is>
          <t>Preferred Product</t>
        </is>
      </c>
    </row>
    <row r="2">
      <c r="A2" t="inlineStr">
        <is>
          <t>Sample Phone</t>
        </is>
      </c>
      <c r="B2" t="inlineStr">
        <is>
          <t>Sample Name</t>
        </is>
      </c>
      <c r="C2">
        <f>COUNTIF(Orders!C:C,A2)</f>
        <v/>
      </c>
      <c r="D2">
        <f>SUMIF(Orders!C:C,A2,Orders!H:H)</f>
        <v/>
      </c>
      <c r="E2">
        <f>IFERROR(C2/D2,0)</f>
        <v/>
      </c>
      <c r="F2">
        <f>MINIFS(Orders!A:A,Orders!C:C,A2)</f>
        <v/>
      </c>
      <c r="G2">
        <f>MAXIFS(Orders!A:A,Orders!C:C,A2)</f>
        <v/>
      </c>
      <c r="H2">
        <f>TODAY()-G2</f>
        <v/>
      </c>
      <c r="I2">
        <f>IF(D2&gt;=15,"Long-term Resident",IF(D2&gt;=3,"Newcomer/Volunteer","Visitor"))</f>
        <v/>
      </c>
      <c r="J2">
        <f>IF(COUNTIFS(Orders!C:C,A2,Orders!G:G,"&gt;1")&gt;=3,"Family","Single/Couple")</f>
        <v/>
      </c>
      <c r="K2">
        <f>IF(COUNTIFS(Orders!C:C,A2,Orders!F:F,"Weekly Tiffin")&gt;0,"Yes","No")</f>
        <v/>
      </c>
      <c r="L2">
        <f>IF(D2&gt;=3,"Yes","No")</f>
        <v/>
      </c>
      <c r="M2">
        <f>IF(E2&gt;=2500,"Yes","No")</f>
        <v/>
      </c>
      <c r="N2">
        <f>IF(H2&gt;30,"Yes","No")</f>
        <v/>
      </c>
      <c r="O2">
        <f>IF(COUNTIFS(Orders!C:C,A2,Orders!F:F,"Wellness Thali")&gt;0,"Yes","No")</f>
        <v/>
      </c>
      <c r="P2">
        <f>IF(M2="Yes","Yes","No")</f>
        <v/>
      </c>
      <c r="Q2">
        <f>IF(COUNTIFS(Orders!C:C,A2,Orders!F:F,"*Dinner*")&gt;COUNTIFS(Orders!C:C,A2,Orders!F:F,"*Lunch*"),"Dinner","Lunch")</f>
        <v/>
      </c>
      <c r="R2">
        <f>INDEX(Orders!F:F,MATCH(A2,Orders!C:C,0))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Metric</t>
        </is>
      </c>
      <c r="B1" t="inlineStr">
        <is>
          <t>January</t>
        </is>
      </c>
      <c r="C1" t="inlineStr">
        <is>
          <t>February</t>
        </is>
      </c>
      <c r="D1" t="inlineStr">
        <is>
          <t>March</t>
        </is>
      </c>
      <c r="E1" t="inlineStr">
        <is>
          <t>Target</t>
        </is>
      </c>
      <c r="F1" t="inlineStr">
        <is>
          <t>How to Calculate</t>
        </is>
      </c>
    </row>
    <row r="2">
      <c r="A2" t="inlineStr">
        <is>
          <t>Website visitors</t>
        </is>
      </c>
      <c r="B2" t="n">
        <v>0</v>
      </c>
      <c r="C2" t="n">
        <v>0</v>
      </c>
      <c r="D2" t="n">
        <v>0</v>
      </c>
      <c r="E2" t="n">
        <v>500</v>
      </c>
      <c r="F2" t="inlineStr">
        <is>
          <t>Google Analytics 4</t>
        </is>
      </c>
    </row>
    <row r="3">
      <c r="A3" t="inlineStr">
        <is>
          <t>WhatsApp inquiries</t>
        </is>
      </c>
      <c r="B3" t="n">
        <v>0</v>
      </c>
      <c r="C3" t="n">
        <v>0</v>
      </c>
      <c r="D3" t="n">
        <v>0</v>
      </c>
      <c r="E3" t="n">
        <v>60</v>
      </c>
      <c r="F3" t="inlineStr">
        <is>
          <t>Count from order log</t>
        </is>
      </c>
    </row>
    <row r="4">
      <c r="A4" t="inlineStr">
        <is>
          <t>Inquiry to order conversion rate (%)</t>
        </is>
      </c>
      <c r="B4" t="n">
        <v>0</v>
      </c>
      <c r="C4" t="n">
        <v>0</v>
      </c>
      <c r="D4" t="n">
        <v>0</v>
      </c>
      <c r="E4" t="n">
        <v>40</v>
      </c>
      <c r="F4" t="inlineStr">
        <is>
          <t>Orders / Inquiries x 100</t>
        </is>
      </c>
    </row>
    <row r="5">
      <c r="A5" t="inlineStr">
        <is>
          <t>New customers</t>
        </is>
      </c>
      <c r="B5" t="n">
        <v>0</v>
      </c>
      <c r="C5" t="n">
        <v>0</v>
      </c>
      <c r="D5" t="n">
        <v>0</v>
      </c>
      <c r="E5" t="n">
        <v>25</v>
      </c>
      <c r="F5" t="inlineStr">
        <is>
          <t>Unique first-time customers in order log</t>
        </is>
      </c>
    </row>
    <row r="6">
      <c r="A6" t="inlineStr">
        <is>
          <t>Repeat customers (%)</t>
        </is>
      </c>
      <c r="B6" t="n">
        <v>0</v>
      </c>
      <c r="C6" t="n">
        <v>0</v>
      </c>
      <c r="D6" t="n">
        <v>0</v>
      </c>
      <c r="E6" t="n">
        <v>45</v>
      </c>
      <c r="F6" t="inlineStr">
        <is>
          <t>Repeat customers / Total customers x 100</t>
        </is>
      </c>
    </row>
    <row r="7">
      <c r="A7" t="inlineStr">
        <is>
          <t>Google reviews</t>
        </is>
      </c>
      <c r="B7" t="n">
        <v>0</v>
      </c>
      <c r="C7" t="n">
        <v>0</v>
      </c>
      <c r="D7" t="n">
        <v>0</v>
      </c>
      <c r="E7" t="n">
        <v>50</v>
      </c>
      <c r="F7" t="inlineStr">
        <is>
          <t>Google Business Profile</t>
        </is>
      </c>
    </row>
    <row r="8">
      <c r="A8" t="inlineStr">
        <is>
          <t>Instagram followers</t>
        </is>
      </c>
      <c r="B8" t="n">
        <v>0</v>
      </c>
      <c r="C8" t="n">
        <v>0</v>
      </c>
      <c r="D8" t="n">
        <v>0</v>
      </c>
      <c r="E8" t="n">
        <v>500</v>
      </c>
      <c r="F8" t="inlineStr">
        <is>
          <t>Instagram Insights</t>
        </is>
      </c>
    </row>
    <row r="9">
      <c r="A9" t="inlineStr">
        <is>
          <t>Weekly tiffin subscribers</t>
        </is>
      </c>
      <c r="B9" t="n">
        <v>0</v>
      </c>
      <c r="C9" t="n">
        <v>0</v>
      </c>
      <c r="D9" t="n">
        <v>0</v>
      </c>
      <c r="E9" t="n">
        <v>25</v>
      </c>
      <c r="F9" t="inlineStr">
        <is>
          <t>Order log product = Weekly Tiffin</t>
        </is>
      </c>
    </row>
    <row r="10">
      <c r="A10" t="inlineStr">
        <is>
          <t>Average order value (₹)</t>
        </is>
      </c>
      <c r="B10" t="n">
        <v>0</v>
      </c>
      <c r="C10" t="n">
        <v>0</v>
      </c>
      <c r="D10" t="n">
        <v>0</v>
      </c>
      <c r="E10" t="n">
        <v>320</v>
      </c>
      <c r="F10" t="inlineStr">
        <is>
          <t>Total revenue / Total orders</t>
        </is>
      </c>
    </row>
    <row r="11">
      <c r="A11" t="inlineStr">
        <is>
          <t>Total revenue (₹)</t>
        </is>
      </c>
      <c r="B11" t="n">
        <v>0</v>
      </c>
      <c r="C11" t="n">
        <v>0</v>
      </c>
      <c r="D11" t="n">
        <v>0</v>
      </c>
      <c r="E11" t="n">
        <v>50000</v>
      </c>
      <c r="F11" t="inlineStr">
        <is>
          <t>Sum of Price column</t>
        </is>
      </c>
    </row>
    <row r="12">
      <c r="A12" t="inlineStr">
        <is>
          <t>Cost per new customer (₹)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Total marketing spend / New customers</t>
        </is>
      </c>
    </row>
    <row r="13">
      <c r="A13" t="inlineStr">
        <is>
          <t>Top performing source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Filter order log by Source</t>
        </is>
      </c>
    </row>
    <row r="14">
      <c r="A14" t="inlineStr">
        <is>
          <t>Top performing product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Filter order log by Product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4.4"/>
  <cols>
    <col width="17.77734375" customWidth="1" min="1" max="1"/>
    <col width="12" customWidth="1" min="2" max="2"/>
    <col width="15.6640625" customWidth="1" min="3" max="3"/>
    <col width="14.109375" customWidth="1" min="4" max="4"/>
    <col width="14.21875" customWidth="1" min="5" max="5"/>
    <col width="20.21875" customWidth="1" min="6" max="6"/>
  </cols>
  <sheetData>
    <row r="1">
      <c r="A1" t="inlineStr">
        <is>
          <t>Source</t>
        </is>
      </c>
      <c r="B1" t="inlineStr">
        <is>
          <t>Total Orders</t>
        </is>
      </c>
      <c r="C1" t="inlineStr">
        <is>
          <t>Total Revenue</t>
        </is>
      </c>
      <c r="D1" t="inlineStr">
        <is>
          <t>New Customers</t>
        </is>
      </c>
      <c r="E1" t="inlineStr">
        <is>
          <t>Repeat Customers</t>
        </is>
      </c>
      <c r="F1" t="inlineStr">
        <is>
          <t>Avg Order Value</t>
        </is>
      </c>
    </row>
    <row r="2">
      <c r="A2" t="inlineStr">
        <is>
          <t>Instagram Story</t>
        </is>
      </c>
      <c r="B2">
        <f>COUNTIF(Orders!D:D,"Instagram Story")</f>
        <v/>
      </c>
      <c r="C2">
        <f>SUMIF(Orders!D:D,"Instagram Story",Orders!H:H)</f>
        <v/>
      </c>
      <c r="D2">
        <f>COUNTIFS(Orders!D:D,"Instagram Story",Orders!L:L,"New")</f>
        <v/>
      </c>
      <c r="E2">
        <f>COUNTIFS(Orders!D:D,"Instagram Story",Orders!L:L,"Repeat")</f>
        <v/>
      </c>
      <c r="F2">
        <f>IFERROR(C2/B2,0)</f>
        <v/>
      </c>
    </row>
    <row r="3">
      <c r="A3" t="inlineStr">
        <is>
          <t>WhatsApp Broadcast</t>
        </is>
      </c>
      <c r="B3">
        <f>COUNTIF(Orders!D:D,"WhatsApp Broadcast")</f>
        <v/>
      </c>
      <c r="C3">
        <f>SUMIF(Orders!D:D,"WhatsApp Broadcast",Orders!H:H)</f>
        <v/>
      </c>
      <c r="D3">
        <f>COUNTIFS(Orders!D:D,"WhatsApp Broadcast",Orders!L:L,"New")</f>
        <v/>
      </c>
      <c r="E3">
        <f>COUNTIFS(Orders!D:D,"WhatsApp Broadcast",Orders!L:L,"Repeat")</f>
        <v/>
      </c>
      <c r="F3">
        <f>IFERROR(C3/B3,0)</f>
        <v/>
      </c>
    </row>
    <row r="4">
      <c r="A4" t="inlineStr">
        <is>
          <t>Guesthouse Flyer</t>
        </is>
      </c>
      <c r="B4">
        <f>COUNTIF(Orders!D:D,"Guesthouse Flyer")</f>
        <v/>
      </c>
      <c r="C4">
        <f>SUMIF(Orders!D:D,"Guesthouse Flyer",Orders!H:H)</f>
        <v/>
      </c>
      <c r="D4">
        <f>COUNTIFS(Orders!D:D,"Guesthouse Flyer",Orders!L:L,"New")</f>
        <v/>
      </c>
      <c r="E4">
        <f>COUNTIFS(Orders!D:D,"Guesthouse Flyer",Orders!L:L,"Repeat")</f>
        <v/>
      </c>
      <c r="F4">
        <f>IFERROR(C4/B4,0)</f>
        <v/>
      </c>
    </row>
    <row r="5">
      <c r="A5" t="inlineStr">
        <is>
          <t>Google Business</t>
        </is>
      </c>
      <c r="B5">
        <f>COUNTIF(Orders!D:D,"Google Business")</f>
        <v/>
      </c>
      <c r="C5">
        <f>SUMIF(Orders!D:D,"Google Business",Orders!H:H)</f>
        <v/>
      </c>
      <c r="D5">
        <f>COUNTIFS(Orders!D:D,"Google Business",Orders!L:L,"New")</f>
        <v/>
      </c>
      <c r="E5">
        <f>COUNTIFS(Orders!D:D,"Google Business",Orders!L:L,"Repeat")</f>
        <v/>
      </c>
      <c r="F5">
        <f>IFERROR(C5/B5,0)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4.4"/>
  <cols>
    <col width="18" customWidth="1" min="1" max="1"/>
  </cols>
  <sheetData>
    <row r="1">
      <c r="A1" t="inlineStr">
        <is>
          <t>Product</t>
        </is>
      </c>
      <c r="B1" t="inlineStr">
        <is>
          <t>Orders</t>
        </is>
      </c>
      <c r="C1" t="inlineStr">
        <is>
          <t>Revenue</t>
        </is>
      </c>
      <c r="D1" t="inlineStr">
        <is>
          <t>Avg Price</t>
        </is>
      </c>
    </row>
    <row r="2">
      <c r="A2" t="inlineStr">
        <is>
          <t>Today's Thali</t>
        </is>
      </c>
      <c r="B2">
        <f>COUNTIF(Orders!F:F,"Today's Thali")</f>
        <v/>
      </c>
      <c r="C2">
        <f>SUMIF(Orders!F:F,"Today's Thali",Orders!H:H)</f>
        <v/>
      </c>
      <c r="D2">
        <f>IFERROR(C2/B2,0)</f>
        <v/>
      </c>
    </row>
    <row r="3">
      <c r="A3" t="inlineStr">
        <is>
          <t>Weekly Tiffin</t>
        </is>
      </c>
      <c r="B3">
        <f>COUNTIF(Orders!F:F,"Weekly Tiffin")</f>
        <v/>
      </c>
      <c r="C3">
        <f>SUMIF(Orders!F:F,"Weekly Tiffin",Orders!H:H)</f>
        <v/>
      </c>
      <c r="D3">
        <f>IFERROR(C3/B3,0)</f>
        <v/>
      </c>
    </row>
    <row r="4">
      <c r="A4" t="inlineStr">
        <is>
          <t>Wellness Thali</t>
        </is>
      </c>
      <c r="B4">
        <f>COUNTIF(Orders!F:F,"Wellness Thali")</f>
        <v/>
      </c>
      <c r="C4">
        <f>SUMIF(Orders!F:F,"Wellness Thali",Orders!H:H)</f>
        <v/>
      </c>
      <c r="D4">
        <f>IFERROR(C4/B4,0)</f>
        <v/>
      </c>
    </row>
    <row r="5">
      <c r="A5" t="inlineStr">
        <is>
          <t>Family Thali</t>
        </is>
      </c>
      <c r="B5">
        <f>COUNTIF(Orders!F:F,"Family Thali")</f>
        <v/>
      </c>
      <c r="C5">
        <f>SUMIF(Orders!F:F,"Family Thali",Orders!H:H)</f>
        <v/>
      </c>
      <c r="D5">
        <f>IFERROR(C5/B5,0)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cols>
    <col width="13.77734375" customWidth="1" min="2" max="2"/>
    <col width="19.21875" customWidth="1" min="4" max="4"/>
    <col width="20.33203125" customWidth="1" min="5" max="5"/>
    <col width="15.6640625" customWidth="1" min="6" max="6"/>
    <col width="15.21875" customWidth="1" min="7" max="7"/>
    <col width="13.88671875" customWidth="1" min="8" max="8"/>
  </cols>
  <sheetData>
    <row r="1">
      <c r="A1" t="inlineStr">
        <is>
          <t>Week</t>
        </is>
      </c>
      <c r="B1" t="inlineStr">
        <is>
          <t>Total Orders</t>
        </is>
      </c>
      <c r="C1" t="inlineStr">
        <is>
          <t>Revenue</t>
        </is>
      </c>
      <c r="D1" t="inlineStr">
        <is>
          <t>New Customers</t>
        </is>
      </c>
      <c r="E1" t="inlineStr">
        <is>
          <t>Repeat Customers</t>
        </is>
      </c>
      <c r="F1" t="inlineStr">
        <is>
          <t>Top Source</t>
        </is>
      </c>
      <c r="G1" t="inlineStr">
        <is>
          <t>Top Product</t>
        </is>
      </c>
      <c r="H1" t="inlineStr">
        <is>
          <t>Experiment</t>
        </is>
      </c>
      <c r="I1" t="inlineStr">
        <is>
          <t>Result</t>
        </is>
      </c>
      <c r="J1" t="inlineStr">
        <is>
          <t>Next Week 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C1" sqref="C1:C1048576"/>
    </sheetView>
  </sheetViews>
  <sheetFormatPr baseColWidth="8" defaultRowHeight="14.4"/>
  <cols>
    <col width="12.21875" customWidth="1" min="1" max="1"/>
    <col width="10.44140625" customWidth="1" min="2" max="2"/>
    <col width="11.44140625" customWidth="1" min="3" max="3"/>
    <col width="16.109375" customWidth="1" min="4" max="4"/>
    <col width="13.21875" customWidth="1" min="5" max="5"/>
    <col width="17.6640625" customWidth="1" min="6" max="6"/>
    <col width="10.109375" customWidth="1" min="7" max="7"/>
    <col width="14.88671875" customWidth="1" min="8" max="8"/>
    <col width="12.5546875" customWidth="1" min="9" max="9"/>
  </cols>
  <sheetData>
    <row r="1">
      <c r="A1" t="inlineStr">
        <is>
          <t>Phone</t>
        </is>
      </c>
      <c r="B1" t="inlineStr">
        <is>
          <t>Name</t>
        </is>
      </c>
      <c r="C1" t="inlineStr">
        <is>
          <t>Area</t>
        </is>
      </c>
      <c r="D1" t="inlineStr">
        <is>
          <t>Accommodation Type</t>
        </is>
      </c>
      <c r="E1" t="inlineStr">
        <is>
          <t>Resident Type</t>
        </is>
      </c>
      <c r="F1" t="inlineStr">
        <is>
          <t>Dietary Preference</t>
        </is>
      </c>
      <c r="G1" t="inlineStr">
        <is>
          <t>Spice Level</t>
        </is>
      </c>
      <c r="H1" t="inlineStr">
        <is>
          <t>Meal Need (Lunch/Dinner/Both)</t>
        </is>
      </c>
      <c r="I1" t="inlineStr">
        <is>
          <t>Family Size</t>
        </is>
      </c>
      <c r="J1" t="inlineStr">
        <is>
          <t>Preferred Delivery Time</t>
        </is>
      </c>
      <c r="K1" t="inlineStr">
        <is>
          <t>First Order Date</t>
        </is>
      </c>
      <c r="L1" t="inlineStr">
        <is>
          <t>Last Order Date</t>
        </is>
      </c>
      <c r="M1" t="inlineStr">
        <is>
          <t>Total Orders</t>
        </is>
      </c>
      <c r="N1" t="inlineStr">
        <is>
          <t>Total Spent (₹)</t>
        </is>
      </c>
      <c r="O1" t="inlineStr">
        <is>
          <t>Avg Order Value (₹)</t>
        </is>
      </c>
      <c r="P1" t="inlineStr">
        <is>
          <t>Days Between Orders</t>
        </is>
      </c>
      <c r="Q1" t="inlineStr">
        <is>
          <t>Repeat Customer</t>
        </is>
      </c>
      <c r="R1" t="inlineStr">
        <is>
          <t>Source</t>
        </is>
      </c>
      <c r="S1" t="inlineStr">
        <is>
          <t>Referrer</t>
        </is>
      </c>
      <c r="T1" t="inlineStr">
        <is>
          <t>Likely to Recommend (1-5)</t>
        </is>
      </c>
      <c r="U1" t="inlineStr">
        <is>
          <t>Important Factors</t>
        </is>
      </c>
      <c r="V1" t="inlineStr">
        <is>
          <t>Language</t>
        </is>
      </c>
      <c r="W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2026-07-06T06:44:14Z</dcterms:created>
  <dcterms:modified xsi:type="dcterms:W3CDTF">2026-07-06T07:20:32Z</dcterms:modified>
  <cp:lastModifiedBy>Admin</cp:lastModifiedBy>
</cp:coreProperties>
</file>